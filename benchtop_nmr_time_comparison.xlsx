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/Downloads/"/>
    </mc:Choice>
  </mc:AlternateContent>
  <xr:revisionPtr revIDLastSave="0" documentId="13_ncr:1_{15EE5848-C7CF-F64C-8E3C-E1CDD6DD9445}" xr6:coauthVersionLast="47" xr6:coauthVersionMax="47" xr10:uidLastSave="{00000000-0000-0000-0000-000000000000}"/>
  <bookViews>
    <workbookView xWindow="-1780" yWindow="-21600" windowWidth="38400" windowHeight="21600" xr2:uid="{BD11A067-87B2-4A97-BF9E-8146C3FAA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M14" i="1"/>
  <c r="O14" i="1"/>
  <c r="K14" i="1"/>
</calcChain>
</file>

<file path=xl/sharedStrings.xml><?xml version="1.0" encoding="utf-8"?>
<sst xmlns="http://schemas.openxmlformats.org/spreadsheetml/2006/main" count="137" uniqueCount="67">
  <si>
    <t>動作周波数</t>
    <rPh sb="0" eb="5">
      <t>ドウサシュウハスウ</t>
    </rPh>
    <phoneticPr fontId="1"/>
  </si>
  <si>
    <t>60MHz</t>
    <phoneticPr fontId="1"/>
  </si>
  <si>
    <t>80MHz</t>
    <phoneticPr fontId="1"/>
  </si>
  <si>
    <t>感度 1H</t>
    <rPh sb="0" eb="2">
      <t>カンド</t>
    </rPh>
    <phoneticPr fontId="1"/>
  </si>
  <si>
    <t>分解能 (50/0.55/ 0.11%)</t>
    <rPh sb="0" eb="3">
      <t>ブンカイノウ</t>
    </rPh>
    <phoneticPr fontId="1"/>
  </si>
  <si>
    <t>サイズ</t>
    <phoneticPr fontId="1"/>
  </si>
  <si>
    <t>重量</t>
    <rPh sb="0" eb="2">
      <t>ジュウリョウ</t>
    </rPh>
    <phoneticPr fontId="1"/>
  </si>
  <si>
    <t>設置環境温度</t>
    <phoneticPr fontId="1"/>
  </si>
  <si>
    <t>70 x 60 x 50 cm</t>
    <phoneticPr fontId="1"/>
  </si>
  <si>
    <t>94 kg</t>
    <phoneticPr fontId="1"/>
  </si>
  <si>
    <t>18-28 ℃</t>
    <phoneticPr fontId="1"/>
  </si>
  <si>
    <t>60 kg</t>
    <phoneticPr fontId="1"/>
  </si>
  <si>
    <t>14-28 ℃</t>
    <phoneticPr fontId="1"/>
  </si>
  <si>
    <t>測定必要時間目安(分)　上記感度の場合</t>
    <rPh sb="0" eb="4">
      <t xml:space="preserve">ソクテイヒツヨウ </t>
    </rPh>
    <rPh sb="4" eb="6">
      <t xml:space="preserve">ジカン </t>
    </rPh>
    <rPh sb="6" eb="8">
      <t xml:space="preserve">メヤス </t>
    </rPh>
    <rPh sb="9" eb="10">
      <t xml:space="preserve">フン </t>
    </rPh>
    <rPh sb="12" eb="16">
      <t xml:space="preserve">ジョウキカンドノ </t>
    </rPh>
    <rPh sb="17" eb="19">
      <t xml:space="preserve">バアイ </t>
    </rPh>
    <phoneticPr fontId="1"/>
  </si>
  <si>
    <t>Spinsolve 90MHz X-Nuclei ULTRA</t>
    <phoneticPr fontId="1"/>
  </si>
  <si>
    <t>90MHz</t>
    <phoneticPr fontId="1"/>
  </si>
  <si>
    <t>240:1</t>
    <phoneticPr fontId="1"/>
  </si>
  <si>
    <t>Spinsolve 100MHz X-Nuclei ULTRA</t>
    <phoneticPr fontId="1"/>
  </si>
  <si>
    <t>100MHz</t>
    <phoneticPr fontId="1"/>
  </si>
  <si>
    <t>観測核 : 1H</t>
    <rPh sb="0" eb="3">
      <t>カンソクカク</t>
    </rPh>
    <phoneticPr fontId="1"/>
  </si>
  <si>
    <t xml:space="preserve"> 200:1 for 1H/19F</t>
    <phoneticPr fontId="1"/>
  </si>
  <si>
    <t>&gt; 140:1 for multinuclear option</t>
    <phoneticPr fontId="1"/>
  </si>
  <si>
    <t>50% &lt; 0.5 Hz / 0.55% &lt; 20 Hz</t>
    <phoneticPr fontId="1"/>
  </si>
  <si>
    <t xml:space="preserve">50% &lt;0.35 Hz  / 0.55% &lt;10 Hz </t>
    <phoneticPr fontId="1"/>
  </si>
  <si>
    <t>50% &lt; 0.2 Hz / 0.55% &lt; 7 Hz / 0.11% &lt; 14Hz</t>
  </si>
  <si>
    <t>60MHz</t>
  </si>
  <si>
    <t xml:space="preserve"> 58 x 43 x 40 cm</t>
  </si>
  <si>
    <t>電源</t>
    <rPh sb="0" eb="2">
      <t xml:space="preserve">デンゲン </t>
    </rPh>
    <phoneticPr fontId="1"/>
  </si>
  <si>
    <t>100V</t>
    <phoneticPr fontId="1"/>
  </si>
  <si>
    <t>Spinsolve60MHz Plus</t>
    <phoneticPr fontId="1"/>
  </si>
  <si>
    <t>Spinsolve60MHzMulti_Ultra</t>
    <phoneticPr fontId="1"/>
  </si>
  <si>
    <t>Spinsolve 80 MHzMulti_ULTRA</t>
    <phoneticPr fontId="1"/>
  </si>
  <si>
    <r>
      <t>Spinsolve60MHz(</t>
    </r>
    <r>
      <rPr>
        <sz val="11"/>
        <color theme="1"/>
        <rFont val="游ゴシック"/>
        <family val="3"/>
        <charset val="128"/>
      </rPr>
      <t>1</t>
    </r>
    <r>
      <rPr>
        <sz val="11"/>
        <color theme="1"/>
        <rFont val="游ゴシック"/>
        <family val="2"/>
        <charset val="128"/>
        <scheme val="minor"/>
      </rPr>
      <t>H,19F)</t>
    </r>
    <phoneticPr fontId="1"/>
  </si>
  <si>
    <t>Spinsolve60MHzUltra((1H,19F)</t>
    <phoneticPr fontId="1"/>
  </si>
  <si>
    <t>Spinsolve80MHz  (1H,19F)</t>
    <phoneticPr fontId="1"/>
  </si>
  <si>
    <t>Spinsolve80MHzUltra (1H,19F)</t>
    <phoneticPr fontId="1"/>
  </si>
  <si>
    <t>280:1 for 1H/19F</t>
    <phoneticPr fontId="1"/>
  </si>
  <si>
    <t xml:space="preserve">58 x 43 x 40 cm </t>
    <phoneticPr fontId="1"/>
  </si>
  <si>
    <t>72.5 kg</t>
    <phoneticPr fontId="1"/>
  </si>
  <si>
    <t xml:space="preserve"> 50% &lt;0.35 Hz / 0.55%&lt;15 Hz / 0.11% &lt;30Hz</t>
    <phoneticPr fontId="1"/>
  </si>
  <si>
    <t xml:space="preserve"> 50%&lt;0.2 Hz / 0.55%&lt;8 Hz / 0.11%&lt;16 Hz</t>
    <phoneticPr fontId="1"/>
  </si>
  <si>
    <t>200:1 for multinuclear option</t>
    <phoneticPr fontId="1"/>
  </si>
  <si>
    <t>Spinsolve 90MHz  (1H,19F)</t>
    <phoneticPr fontId="1"/>
  </si>
  <si>
    <t>66 x 45 x 43 cm</t>
    <phoneticPr fontId="1"/>
  </si>
  <si>
    <t>115 kg</t>
    <phoneticPr fontId="1"/>
  </si>
  <si>
    <t>Spinsolve90MHzUltra (1H,19F)</t>
    <phoneticPr fontId="1"/>
  </si>
  <si>
    <t xml:space="preserve"> &gt;400:1 for 1H/19F</t>
    <phoneticPr fontId="1"/>
  </si>
  <si>
    <t>240:1  for multinuclear option</t>
    <phoneticPr fontId="1"/>
  </si>
  <si>
    <t>300:1 for multinuclear option</t>
    <phoneticPr fontId="1"/>
  </si>
  <si>
    <t>Spinsolve 100MHz ULTRA(1H,19F)</t>
    <phoneticPr fontId="1"/>
  </si>
  <si>
    <t>119 kg</t>
    <phoneticPr fontId="1"/>
  </si>
  <si>
    <t>X社(1H) HP</t>
    <rPh sb="1" eb="2">
      <t xml:space="preserve">シャ </t>
    </rPh>
    <phoneticPr fontId="1"/>
  </si>
  <si>
    <t>180:1</t>
    <phoneticPr fontId="1"/>
  </si>
  <si>
    <t xml:space="preserve"> 50%&lt;0.3 Hz / 0.55%&lt;10 Hz / 0.11%&lt;15 Hz</t>
    <phoneticPr fontId="1"/>
  </si>
  <si>
    <t xml:space="preserve"> 50%&lt;0.4 Hz / 0.55%&lt;10 Hz / 0.11%&lt;15 Hz</t>
    <phoneticPr fontId="1"/>
  </si>
  <si>
    <t>X社(1H,13C) WH</t>
    <rPh sb="1" eb="2">
      <t xml:space="preserve">シャ </t>
    </rPh>
    <phoneticPr fontId="1"/>
  </si>
  <si>
    <t>感度 1H　アプリ表記</t>
    <rPh sb="0" eb="2">
      <t>カンド</t>
    </rPh>
    <rPh sb="9" eb="11">
      <t xml:space="preserve">ヒョウキ </t>
    </rPh>
    <phoneticPr fontId="1"/>
  </si>
  <si>
    <t>200</t>
    <phoneticPr fontId="1"/>
  </si>
  <si>
    <t>140</t>
    <phoneticPr fontId="1"/>
  </si>
  <si>
    <t>280</t>
    <phoneticPr fontId="1"/>
  </si>
  <si>
    <t>320</t>
    <phoneticPr fontId="1"/>
  </si>
  <si>
    <t>240</t>
    <phoneticPr fontId="1"/>
  </si>
  <si>
    <t>400</t>
    <phoneticPr fontId="1"/>
  </si>
  <si>
    <t>300</t>
    <phoneticPr fontId="1"/>
  </si>
  <si>
    <t>180</t>
    <phoneticPr fontId="1"/>
  </si>
  <si>
    <t>製品名</t>
    <rPh sb="0" eb="3">
      <t xml:space="preserve">セイヒンメイ </t>
    </rPh>
    <phoneticPr fontId="1"/>
  </si>
  <si>
    <t>320:1 for 1H/19F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</si>
</sst>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</font>
    <font>
      <sz val="11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>
      <alignment vertical="center"/>
    </xf>
    <xf numFmtId="176" fontId="2" fillId="0" borderId="0" xfId="0" applyNumberFormat="1" applyFont="1" applyAlignment="1">
      <alignment horizontal="center" vertical="center"/>
    </xf>
    <xf numFmtId="49" fontId="0" fillId="0" borderId="0" xfId="0" applyNumberFormat="1" applyBorder="1">
      <alignment vertical="center"/>
    </xf>
    <xf numFmtId="49" fontId="0" fillId="0" borderId="1" xfId="0" applyNumberFormat="1" applyBorder="1">
      <alignment vertical="center"/>
    </xf>
    <xf numFmtId="49" fontId="4" fillId="0" borderId="1" xfId="0" applyNumberFormat="1" applyFont="1" applyBorder="1">
      <alignment vertical="center"/>
    </xf>
    <xf numFmtId="49" fontId="0" fillId="0" borderId="1" xfId="0" applyNumberForma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9005D-6330-4C1B-9519-BF1F25025F2A}">
  <dimension ref="A1:O15"/>
  <sheetViews>
    <sheetView tabSelected="1" topLeftCell="C1" workbookViewId="0">
      <selection activeCell="J17" sqref="J17"/>
    </sheetView>
  </sheetViews>
  <sheetFormatPr baseColWidth="10" defaultColWidth="8.6640625" defaultRowHeight="18"/>
  <cols>
    <col min="1" max="1" width="26.5" style="1" customWidth="1"/>
    <col min="2" max="3" width="27.5" style="1" customWidth="1"/>
    <col min="4" max="5" width="42.1640625" style="1" customWidth="1"/>
    <col min="6" max="6" width="44" style="1" customWidth="1"/>
    <col min="7" max="7" width="42.1640625" style="1" customWidth="1"/>
    <col min="8" max="10" width="31.5" style="1" customWidth="1"/>
    <col min="11" max="12" width="40" style="1" customWidth="1"/>
    <col min="13" max="13" width="31.5" style="1" customWidth="1"/>
    <col min="14" max="15" width="37.83203125" style="1" customWidth="1"/>
    <col min="16" max="16384" width="8.6640625" style="1"/>
  </cols>
  <sheetData>
    <row r="1" spans="1:15" ht="25" customHeight="1"/>
    <row r="2" spans="1:15" ht="25" customHeight="1">
      <c r="A2" s="1" t="s">
        <v>19</v>
      </c>
    </row>
    <row r="3" spans="1:15" ht="25" customHeight="1">
      <c r="A3" s="7" t="s">
        <v>65</v>
      </c>
      <c r="B3" s="9" t="s">
        <v>32</v>
      </c>
      <c r="C3" s="7" t="s">
        <v>29</v>
      </c>
      <c r="D3" s="7" t="s">
        <v>33</v>
      </c>
      <c r="E3" s="7" t="s">
        <v>30</v>
      </c>
      <c r="F3" s="7" t="s">
        <v>34</v>
      </c>
      <c r="G3" s="7" t="s">
        <v>35</v>
      </c>
      <c r="H3" s="7" t="s">
        <v>31</v>
      </c>
      <c r="I3" s="7" t="s">
        <v>42</v>
      </c>
      <c r="J3" s="7" t="s">
        <v>45</v>
      </c>
      <c r="K3" s="7" t="s">
        <v>14</v>
      </c>
      <c r="L3" s="7" t="s">
        <v>49</v>
      </c>
      <c r="M3" s="7" t="s">
        <v>17</v>
      </c>
      <c r="N3" s="7" t="s">
        <v>51</v>
      </c>
      <c r="O3" s="7" t="s">
        <v>55</v>
      </c>
    </row>
    <row r="4" spans="1:15" ht="25" customHeight="1">
      <c r="A4" s="7" t="s">
        <v>0</v>
      </c>
      <c r="B4" s="7" t="s">
        <v>1</v>
      </c>
      <c r="C4" s="7" t="s">
        <v>1</v>
      </c>
      <c r="D4" s="7" t="s">
        <v>1</v>
      </c>
      <c r="E4" s="7" t="s">
        <v>25</v>
      </c>
      <c r="F4" s="7" t="s">
        <v>2</v>
      </c>
      <c r="G4" s="7" t="s">
        <v>2</v>
      </c>
      <c r="H4" s="7" t="s">
        <v>2</v>
      </c>
      <c r="I4" s="7" t="s">
        <v>15</v>
      </c>
      <c r="J4" s="7" t="s">
        <v>15</v>
      </c>
      <c r="K4" s="7" t="s">
        <v>15</v>
      </c>
      <c r="L4" s="7" t="s">
        <v>18</v>
      </c>
      <c r="M4" s="7" t="s">
        <v>18</v>
      </c>
      <c r="N4" s="7" t="s">
        <v>2</v>
      </c>
      <c r="O4" s="7" t="s">
        <v>2</v>
      </c>
    </row>
    <row r="5" spans="1:15" ht="25" customHeight="1">
      <c r="A5" s="7" t="s">
        <v>3</v>
      </c>
      <c r="B5" s="7" t="s">
        <v>57</v>
      </c>
      <c r="C5" s="7" t="s">
        <v>58</v>
      </c>
      <c r="D5" s="7" t="s">
        <v>57</v>
      </c>
      <c r="E5" s="7" t="s">
        <v>58</v>
      </c>
      <c r="F5" s="7" t="s">
        <v>59</v>
      </c>
      <c r="G5" s="7" t="s">
        <v>59</v>
      </c>
      <c r="H5" s="7" t="s">
        <v>57</v>
      </c>
      <c r="I5" s="7" t="s">
        <v>60</v>
      </c>
      <c r="J5" s="7" t="s">
        <v>60</v>
      </c>
      <c r="K5" s="7" t="s">
        <v>61</v>
      </c>
      <c r="L5" s="7" t="s">
        <v>62</v>
      </c>
      <c r="M5" s="7" t="s">
        <v>63</v>
      </c>
      <c r="N5" s="7" t="s">
        <v>61</v>
      </c>
      <c r="O5" s="7" t="s">
        <v>64</v>
      </c>
    </row>
    <row r="6" spans="1:15" ht="25" customHeight="1">
      <c r="A6" s="7" t="s">
        <v>56</v>
      </c>
      <c r="B6" s="7" t="s">
        <v>20</v>
      </c>
      <c r="C6" s="7" t="s">
        <v>21</v>
      </c>
      <c r="D6" s="7" t="s">
        <v>20</v>
      </c>
      <c r="E6" s="7" t="s">
        <v>21</v>
      </c>
      <c r="F6" s="7" t="s">
        <v>36</v>
      </c>
      <c r="G6" s="7" t="s">
        <v>36</v>
      </c>
      <c r="H6" s="7" t="s">
        <v>41</v>
      </c>
      <c r="I6" s="7" t="s">
        <v>66</v>
      </c>
      <c r="J6" s="7" t="s">
        <v>66</v>
      </c>
      <c r="K6" s="7" t="s">
        <v>47</v>
      </c>
      <c r="L6" s="7" t="s">
        <v>46</v>
      </c>
      <c r="M6" s="7" t="s">
        <v>48</v>
      </c>
      <c r="N6" s="7" t="s">
        <v>16</v>
      </c>
      <c r="O6" s="7" t="s">
        <v>52</v>
      </c>
    </row>
    <row r="7" spans="1:15" ht="25" customHeight="1">
      <c r="A7" s="7" t="s">
        <v>4</v>
      </c>
      <c r="B7" s="7" t="s">
        <v>22</v>
      </c>
      <c r="C7" s="7" t="s">
        <v>23</v>
      </c>
      <c r="D7" s="7" t="s">
        <v>24</v>
      </c>
      <c r="E7" s="7" t="s">
        <v>24</v>
      </c>
      <c r="F7" s="7" t="s">
        <v>39</v>
      </c>
      <c r="G7" s="7" t="s">
        <v>40</v>
      </c>
      <c r="H7" s="7" t="s">
        <v>40</v>
      </c>
      <c r="I7" s="7" t="s">
        <v>39</v>
      </c>
      <c r="J7" s="7" t="s">
        <v>39</v>
      </c>
      <c r="K7" s="7" t="s">
        <v>40</v>
      </c>
      <c r="L7" s="7" t="s">
        <v>40</v>
      </c>
      <c r="M7" s="7" t="s">
        <v>40</v>
      </c>
      <c r="N7" s="7" t="s">
        <v>53</v>
      </c>
      <c r="O7" s="8" t="s">
        <v>54</v>
      </c>
    </row>
    <row r="8" spans="1:15" ht="25" customHeight="1">
      <c r="A8" s="7" t="s">
        <v>5</v>
      </c>
      <c r="B8" s="7" t="s">
        <v>26</v>
      </c>
      <c r="C8" s="7" t="s">
        <v>26</v>
      </c>
      <c r="D8" s="7" t="s">
        <v>26</v>
      </c>
      <c r="E8" s="7" t="s">
        <v>26</v>
      </c>
      <c r="F8" s="7" t="s">
        <v>37</v>
      </c>
      <c r="G8" s="7" t="s">
        <v>37</v>
      </c>
      <c r="H8" s="7" t="s">
        <v>37</v>
      </c>
      <c r="I8" s="7" t="s">
        <v>43</v>
      </c>
      <c r="J8" s="7" t="s">
        <v>43</v>
      </c>
      <c r="K8" s="7" t="s">
        <v>43</v>
      </c>
      <c r="L8" s="7" t="s">
        <v>43</v>
      </c>
      <c r="M8" s="7" t="s">
        <v>43</v>
      </c>
      <c r="N8" s="7" t="s">
        <v>8</v>
      </c>
      <c r="O8" s="7" t="s">
        <v>8</v>
      </c>
    </row>
    <row r="9" spans="1:15" ht="25" customHeight="1">
      <c r="A9" s="7" t="s">
        <v>6</v>
      </c>
      <c r="B9" s="7" t="s">
        <v>11</v>
      </c>
      <c r="C9" s="7" t="s">
        <v>11</v>
      </c>
      <c r="D9" s="7" t="s">
        <v>11</v>
      </c>
      <c r="E9" s="7" t="s">
        <v>11</v>
      </c>
      <c r="F9" s="7" t="s">
        <v>38</v>
      </c>
      <c r="G9" s="7" t="s">
        <v>38</v>
      </c>
      <c r="H9" s="7" t="s">
        <v>38</v>
      </c>
      <c r="I9" s="7" t="s">
        <v>44</v>
      </c>
      <c r="J9" s="7" t="s">
        <v>44</v>
      </c>
      <c r="K9" s="7" t="s">
        <v>44</v>
      </c>
      <c r="L9" s="7" t="s">
        <v>50</v>
      </c>
      <c r="M9" s="7" t="s">
        <v>50</v>
      </c>
      <c r="N9" s="7" t="s">
        <v>9</v>
      </c>
      <c r="O9" s="7" t="s">
        <v>9</v>
      </c>
    </row>
    <row r="10" spans="1:15" ht="25" customHeight="1">
      <c r="A10" s="7" t="s">
        <v>27</v>
      </c>
      <c r="B10" s="7" t="s">
        <v>28</v>
      </c>
      <c r="C10" s="7" t="s">
        <v>28</v>
      </c>
      <c r="D10" s="7" t="s">
        <v>28</v>
      </c>
      <c r="E10" s="7" t="s">
        <v>28</v>
      </c>
      <c r="F10" s="7" t="s">
        <v>28</v>
      </c>
      <c r="G10" s="7" t="s">
        <v>28</v>
      </c>
      <c r="H10" s="7" t="s">
        <v>28</v>
      </c>
      <c r="I10" s="7" t="s">
        <v>28</v>
      </c>
      <c r="J10" s="7" t="s">
        <v>28</v>
      </c>
      <c r="K10" s="7" t="s">
        <v>28</v>
      </c>
      <c r="L10" s="7" t="s">
        <v>28</v>
      </c>
      <c r="M10" s="7" t="s">
        <v>28</v>
      </c>
      <c r="N10" s="7" t="s">
        <v>28</v>
      </c>
      <c r="O10" s="7" t="s">
        <v>28</v>
      </c>
    </row>
    <row r="11" spans="1:15" ht="25" customHeight="1">
      <c r="A11" s="7" t="s">
        <v>7</v>
      </c>
      <c r="B11" s="7" t="s">
        <v>12</v>
      </c>
      <c r="C11" s="7" t="s">
        <v>12</v>
      </c>
      <c r="D11" s="7" t="s">
        <v>12</v>
      </c>
      <c r="E11" s="7" t="s">
        <v>12</v>
      </c>
      <c r="F11" s="7" t="s">
        <v>12</v>
      </c>
      <c r="G11" s="7" t="s">
        <v>12</v>
      </c>
      <c r="H11" s="7" t="s">
        <v>12</v>
      </c>
      <c r="I11" s="7" t="s">
        <v>12</v>
      </c>
      <c r="J11" s="7" t="s">
        <v>12</v>
      </c>
      <c r="K11" s="7" t="s">
        <v>12</v>
      </c>
      <c r="L11" s="7" t="s">
        <v>12</v>
      </c>
      <c r="M11" s="7" t="s">
        <v>12</v>
      </c>
      <c r="N11" s="7" t="s">
        <v>10</v>
      </c>
      <c r="O11" s="7" t="s">
        <v>10</v>
      </c>
    </row>
    <row r="12" spans="1:15" ht="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ht="25" customHeight="1">
      <c r="C13" s="3">
        <v>140</v>
      </c>
      <c r="D13" s="3"/>
      <c r="E13" s="3"/>
      <c r="F13" s="3"/>
      <c r="G13" s="3"/>
      <c r="H13" s="3">
        <v>200</v>
      </c>
      <c r="I13" s="3"/>
      <c r="J13" s="3"/>
      <c r="K13" s="3">
        <v>240</v>
      </c>
      <c r="L13" s="3"/>
      <c r="M13" s="3">
        <v>300</v>
      </c>
      <c r="N13" s="3"/>
      <c r="O13" s="3">
        <v>110</v>
      </c>
    </row>
    <row r="14" spans="1:15" ht="25" customHeight="1">
      <c r="A14" s="4" t="s">
        <v>13</v>
      </c>
      <c r="B14" s="4"/>
      <c r="C14" s="5">
        <v>10</v>
      </c>
      <c r="D14" s="5"/>
      <c r="E14" s="5"/>
      <c r="F14" s="5"/>
      <c r="G14" s="5"/>
      <c r="H14" s="5">
        <f>$C$14*(C13/H13)^2</f>
        <v>4.8999999999999995</v>
      </c>
      <c r="I14" s="5"/>
      <c r="J14" s="5"/>
      <c r="K14" s="5">
        <f>$C$14*(C13/K13)^2</f>
        <v>3.4027777777777786</v>
      </c>
      <c r="L14" s="5"/>
      <c r="M14" s="5">
        <f>$C$14*(C13/M13)^2</f>
        <v>2.177777777777778</v>
      </c>
      <c r="N14" s="5"/>
      <c r="O14" s="5">
        <f>$C$14*(C13/O13)^2</f>
        <v>16.198347107438018</v>
      </c>
    </row>
    <row r="15" spans="1:15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Shinichi Umemoto</dc:creator>
  <cp:lastModifiedBy>Hori Kozo</cp:lastModifiedBy>
  <dcterms:created xsi:type="dcterms:W3CDTF">2026-04-10T00:53:58Z</dcterms:created>
  <dcterms:modified xsi:type="dcterms:W3CDTF">2026-05-17T02:48:45Z</dcterms:modified>
</cp:coreProperties>
</file>